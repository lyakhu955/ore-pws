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Foglio1" sheetId="1" state="visible" r:id="rId1"/>
  </sheets>
  <definedNames>
    <definedName name="_xlnm._FilterDatabase" localSheetId="0" hidden="1">'Foglio1'!$A$5:$AV$38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[$-F800]dddd\,\ mmmm\ dd\,\ yyyy"/>
    <numFmt numFmtId="165" formatCode="0.0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20"/>
    </font>
    <font>
      <name val="Arial"/>
      <family val="2"/>
      <b val="1"/>
      <color theme="1"/>
      <sz val="48"/>
    </font>
    <font>
      <name val="Arial Black"/>
      <family val="2"/>
      <b val="1"/>
      <color theme="1"/>
      <sz val="14"/>
    </font>
    <font>
      <name val="Arial"/>
      <family val="2"/>
      <b val="1"/>
      <color theme="1"/>
      <sz val="11"/>
    </font>
    <font>
      <name val="Calibri"/>
      <family val="2"/>
      <b val="1"/>
      <color rgb="FFED0000"/>
      <sz val="11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36"/>
    </font>
    <font>
      <name val="Arial Black"/>
      <family val="2"/>
      <color theme="1"/>
      <sz val="18"/>
    </font>
    <font>
      <name val="Calibri"/>
      <family val="2"/>
      <color rgb="FFFFFFFF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FFFF"/>
      <sz val="12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sz val="14"/>
      <scheme val="minor"/>
    </font>
    <font>
      <name val="Arial Black"/>
      <family val="2"/>
      <sz val="18"/>
    </font>
    <font>
      <name val="Calibri"/>
      <family val="2"/>
      <color theme="1"/>
      <sz val="16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color theme="0"/>
      <sz val="12"/>
    </font>
  </fonts>
  <fills count="8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3">
    <xf numFmtId="0" fontId="0" fillId="0" borderId="0" pivotButton="0" quotePrefix="0" xfId="0"/>
    <xf numFmtId="164" fontId="2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7" fontId="2" fillId="2" borderId="1" applyAlignment="1" pivotButton="0" quotePrefix="0" xfId="0">
      <alignment horizontal="center" vertical="center"/>
    </xf>
    <xf numFmtId="17" fontId="2" fillId="2" borderId="2" applyAlignment="1" pivotButton="0" quotePrefix="0" xfId="0">
      <alignment horizontal="center" vertical="center"/>
    </xf>
    <xf numFmtId="17" fontId="2" fillId="2" borderId="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wrapText="1"/>
    </xf>
    <xf numFmtId="164" fontId="4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4" fontId="4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164" fontId="4" fillId="0" borderId="16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/>
    </xf>
    <xf numFmtId="164" fontId="7" fillId="2" borderId="24" applyAlignment="1" pivotButton="0" quotePrefix="0" xfId="0">
      <alignment horizontal="center" vertical="center"/>
    </xf>
    <xf numFmtId="0" fontId="8" fillId="2" borderId="25" pivotButton="0" quotePrefix="0" xfId="0"/>
    <xf numFmtId="0" fontId="0" fillId="2" borderId="33" pivotButton="0" quotePrefix="0" xfId="0"/>
    <xf numFmtId="164" fontId="7" fillId="0" borderId="24" applyAlignment="1" pivotButton="0" quotePrefix="0" xfId="0">
      <alignment horizontal="center" vertical="center"/>
    </xf>
    <xf numFmtId="0" fontId="8" fillId="0" borderId="34" pivotButton="0" quotePrefix="0" xfId="0"/>
    <xf numFmtId="0" fontId="0" fillId="0" borderId="39" pivotButton="0" quotePrefix="0" xfId="0"/>
    <xf numFmtId="0" fontId="8" fillId="2" borderId="34" pivotButton="0" quotePrefix="0" xfId="0"/>
    <xf numFmtId="0" fontId="0" fillId="2" borderId="39" pivotButton="0" quotePrefix="0" xfId="0"/>
    <xf numFmtId="49" fontId="9" fillId="0" borderId="0" applyAlignment="1" pivotButton="0" quotePrefix="0" xfId="0">
      <alignment horizontal="center" wrapText="1"/>
    </xf>
    <xf numFmtId="49" fontId="9" fillId="0" borderId="0" applyAlignment="1" pivotButton="0" quotePrefix="0" xfId="0">
      <alignment wrapText="1"/>
    </xf>
    <xf numFmtId="0" fontId="8" fillId="0" borderId="25" pivotButton="0" quotePrefix="0" xfId="0"/>
    <xf numFmtId="0" fontId="8" fillId="6" borderId="34" pivotButton="0" quotePrefix="0" xfId="0"/>
    <xf numFmtId="0" fontId="0" fillId="6" borderId="39" pivotButton="0" quotePrefix="0" xfId="0"/>
    <xf numFmtId="0" fontId="0" fillId="6" borderId="0" pivotButton="0" quotePrefix="0" xfId="0"/>
    <xf numFmtId="0" fontId="8" fillId="0" borderId="41" pivotButton="0" quotePrefix="0" xfId="0"/>
    <xf numFmtId="2" fontId="10" fillId="7" borderId="4" applyAlignment="1" pivotButton="0" quotePrefix="0" xfId="0">
      <alignment horizontal="center" vertical="center"/>
    </xf>
    <xf numFmtId="2" fontId="10" fillId="7" borderId="42" applyAlignment="1" pivotButton="0" quotePrefix="0" xfId="0">
      <alignment horizontal="center" vertical="center"/>
    </xf>
    <xf numFmtId="0" fontId="11" fillId="0" borderId="0" pivotButton="0" quotePrefix="0" xfId="0"/>
    <xf numFmtId="0" fontId="11" fillId="7" borderId="5" applyAlignment="1" pivotButton="0" quotePrefix="0" xfId="0">
      <alignment horizontal="center"/>
    </xf>
    <xf numFmtId="164" fontId="12" fillId="7" borderId="16" applyAlignment="1" pivotButton="0" quotePrefix="0" xfId="0">
      <alignment horizontal="center"/>
    </xf>
    <xf numFmtId="164" fontId="12" fillId="7" borderId="45" applyAlignment="1" pivotButton="0" quotePrefix="0" xfId="0">
      <alignment horizontal="center"/>
    </xf>
    <xf numFmtId="0" fontId="11" fillId="7" borderId="17" applyAlignment="1" pivotButton="0" quotePrefix="0" xfId="0">
      <alignment horizontal="center"/>
    </xf>
    <xf numFmtId="164" fontId="8" fillId="0" borderId="0" pivotButton="0" quotePrefix="0" xfId="0"/>
    <xf numFmtId="0" fontId="8" fillId="0" borderId="0" pivotButton="0" quotePrefix="0" xfId="0"/>
    <xf numFmtId="17" fontId="13" fillId="2" borderId="1" applyAlignment="1" pivotButton="0" quotePrefix="0" xfId="0">
      <alignment horizontal="center" vertical="center"/>
    </xf>
    <xf numFmtId="17" fontId="13" fillId="2" borderId="2" applyAlignment="1" pivotButton="0" quotePrefix="0" xfId="0">
      <alignment horizontal="center" vertical="center"/>
    </xf>
    <xf numFmtId="17" fontId="13" fillId="2" borderId="3" applyAlignment="1" pivotButton="0" quotePrefix="0" xfId="0">
      <alignment horizontal="center" vertical="center"/>
    </xf>
    <xf numFmtId="17" fontId="13" fillId="0" borderId="0" applyAlignment="1" pivotButton="0" quotePrefix="0" xfId="0">
      <alignment horizontal="center" vertical="center"/>
    </xf>
    <xf numFmtId="17" fontId="13" fillId="0" borderId="9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 textRotation="90" wrapText="1"/>
    </xf>
    <xf numFmtId="4" fontId="15" fillId="4" borderId="1" applyAlignment="1" pivotButton="0" quotePrefix="0" xfId="0">
      <alignment horizontal="center" vertical="center"/>
    </xf>
    <xf numFmtId="4" fontId="15" fillId="4" borderId="2" applyAlignment="1" pivotButton="0" quotePrefix="0" xfId="0">
      <alignment horizontal="center" vertical="center"/>
    </xf>
    <xf numFmtId="4" fontId="15" fillId="4" borderId="3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4" fontId="15" fillId="5" borderId="2" applyAlignment="1" pivotButton="0" quotePrefix="0" xfId="0">
      <alignment horizontal="center" vertical="center"/>
    </xf>
    <xf numFmtId="4" fontId="15" fillId="5" borderId="3" applyAlignment="1" pivotButton="0" quotePrefix="0" xfId="0">
      <alignment horizontal="center" vertical="center"/>
    </xf>
    <xf numFmtId="4" fontId="13" fillId="0" borderId="4" applyAlignment="1" pivotButton="0" quotePrefix="0" xfId="0">
      <alignment horizontal="center" vertical="center" wrapText="1"/>
    </xf>
    <xf numFmtId="4" fontId="13" fillId="0" borderId="10" applyAlignment="1" pivotButton="0" quotePrefix="0" xfId="0">
      <alignment horizontal="center" vertical="center" wrapText="1"/>
    </xf>
    <xf numFmtId="4" fontId="13" fillId="0" borderId="11" applyAlignment="1" pivotButton="0" quotePrefix="0" xfId="0">
      <alignment horizontal="center" vertical="center" wrapText="1"/>
    </xf>
    <xf numFmtId="4" fontId="13" fillId="0" borderId="9" applyAlignment="1" pivotButton="0" quotePrefix="0" xfId="0">
      <alignment horizontal="center" vertical="center" wrapText="1"/>
    </xf>
    <xf numFmtId="4" fontId="13" fillId="0" borderId="16" applyAlignment="1" pivotButton="0" quotePrefix="0" xfId="0">
      <alignment horizontal="center" vertical="center" wrapText="1"/>
    </xf>
    <xf numFmtId="4" fontId="13" fillId="0" borderId="18" applyAlignment="1" pivotButton="0" quotePrefix="0" xfId="0">
      <alignment horizontal="center" vertical="center" wrapText="1"/>
    </xf>
    <xf numFmtId="4" fontId="13" fillId="0" borderId="19" applyAlignment="1" pivotButton="0" quotePrefix="0" xfId="0">
      <alignment horizontal="center" vertical="center" wrapText="1"/>
    </xf>
    <xf numFmtId="4" fontId="13" fillId="0" borderId="17" applyAlignment="1" pivotButton="0" quotePrefix="0" xfId="0">
      <alignment horizontal="center" vertical="center" wrapText="1"/>
    </xf>
    <xf numFmtId="165" fontId="14" fillId="2" borderId="26" applyAlignment="1" pivotButton="0" quotePrefix="0" xfId="0">
      <alignment horizontal="center"/>
    </xf>
    <xf numFmtId="165" fontId="14" fillId="2" borderId="27" applyAlignment="1" pivotButton="0" quotePrefix="0" xfId="0">
      <alignment horizontal="center"/>
    </xf>
    <xf numFmtId="165" fontId="14" fillId="2" borderId="28" applyAlignment="1" pivotButton="0" quotePrefix="0" xfId="0">
      <alignment horizontal="center"/>
    </xf>
    <xf numFmtId="4" fontId="14" fillId="2" borderId="29" pivotButton="0" quotePrefix="0" xfId="0"/>
    <xf numFmtId="4" fontId="14" fillId="2" borderId="30" pivotButton="0" quotePrefix="0" xfId="0"/>
    <xf numFmtId="4" fontId="14" fillId="2" borderId="31" pivotButton="0" quotePrefix="0" xfId="0"/>
    <xf numFmtId="4" fontId="14" fillId="2" borderId="32" pivotButton="0" quotePrefix="0" xfId="0"/>
    <xf numFmtId="4" fontId="14" fillId="2" borderId="33" pivotButton="0" quotePrefix="0" xfId="0"/>
    <xf numFmtId="165" fontId="14" fillId="0" borderId="26" applyAlignment="1" pivotButton="0" quotePrefix="0" xfId="0">
      <alignment horizontal="center"/>
    </xf>
    <xf numFmtId="165" fontId="14" fillId="0" borderId="35" applyAlignment="1" pivotButton="0" quotePrefix="0" xfId="0">
      <alignment horizontal="center"/>
    </xf>
    <xf numFmtId="165" fontId="14" fillId="0" borderId="36" applyAlignment="1" pivotButton="0" quotePrefix="0" xfId="0">
      <alignment horizontal="center"/>
    </xf>
    <xf numFmtId="4" fontId="14" fillId="0" borderId="37" pivotButton="0" quotePrefix="0" xfId="0"/>
    <xf numFmtId="4" fontId="14" fillId="0" borderId="38" pivotButton="0" quotePrefix="0" xfId="0"/>
    <xf numFmtId="4" fontId="14" fillId="0" borderId="35" pivotButton="0" quotePrefix="0" xfId="0"/>
    <xf numFmtId="4" fontId="14" fillId="0" borderId="36" pivotButton="0" quotePrefix="0" xfId="0"/>
    <xf numFmtId="4" fontId="14" fillId="0" borderId="39" pivotButton="0" quotePrefix="0" xfId="0"/>
    <xf numFmtId="165" fontId="14" fillId="0" borderId="39" applyAlignment="1" pivotButton="0" quotePrefix="0" xfId="0">
      <alignment horizontal="center"/>
    </xf>
    <xf numFmtId="165" fontId="14" fillId="2" borderId="39" applyAlignment="1" pivotButton="0" quotePrefix="0" xfId="0">
      <alignment horizontal="center"/>
    </xf>
    <xf numFmtId="165" fontId="14" fillId="2" borderId="35" applyAlignment="1" pivotButton="0" quotePrefix="0" xfId="0">
      <alignment horizontal="center"/>
    </xf>
    <xf numFmtId="165" fontId="14" fillId="2" borderId="36" applyAlignment="1" pivotButton="0" quotePrefix="0" xfId="0">
      <alignment horizontal="center"/>
    </xf>
    <xf numFmtId="4" fontId="14" fillId="2" borderId="37" pivotButton="0" quotePrefix="0" xfId="0"/>
    <xf numFmtId="4" fontId="14" fillId="2" borderId="35" pivotButton="0" quotePrefix="0" xfId="0"/>
    <xf numFmtId="4" fontId="14" fillId="2" borderId="36" pivotButton="0" quotePrefix="0" xfId="0"/>
    <xf numFmtId="4" fontId="14" fillId="2" borderId="39" pivotButton="0" quotePrefix="0" xfId="0"/>
    <xf numFmtId="4" fontId="14" fillId="6" borderId="35" pivotButton="0" quotePrefix="0" xfId="0"/>
    <xf numFmtId="4" fontId="14" fillId="6" borderId="36" pivotButton="0" quotePrefix="0" xfId="0"/>
    <xf numFmtId="4" fontId="14" fillId="6" borderId="39" pivotButton="0" quotePrefix="0" xfId="0"/>
    <xf numFmtId="2" fontId="14" fillId="0" borderId="42" applyAlignment="1" pivotButton="0" quotePrefix="0" xfId="0">
      <alignment vertical="center"/>
    </xf>
    <xf numFmtId="2" fontId="14" fillId="0" borderId="6" applyAlignment="1" pivotButton="0" quotePrefix="0" xfId="0">
      <alignment vertical="center"/>
    </xf>
    <xf numFmtId="2" fontId="14" fillId="0" borderId="0" applyAlignment="1" pivotButton="0" quotePrefix="0" xfId="0">
      <alignment horizontal="center"/>
    </xf>
    <xf numFmtId="4" fontId="14" fillId="0" borderId="40" applyAlignment="1" pivotButton="0" quotePrefix="0" xfId="0">
      <alignment horizontal="center" vertical="center"/>
    </xf>
    <xf numFmtId="0" fontId="14" fillId="0" borderId="0" pivotButton="0" quotePrefix="0" xfId="0"/>
    <xf numFmtId="4" fontId="14" fillId="0" borderId="17" applyAlignment="1" pivotButton="0" quotePrefix="0" xfId="0">
      <alignment horizontal="center" vertical="center"/>
    </xf>
    <xf numFmtId="4" fontId="14" fillId="0" borderId="0" pivotButton="0" quotePrefix="0" xfId="0"/>
    <xf numFmtId="4" fontId="16" fillId="0" borderId="5" applyAlignment="1" pivotButton="0" quotePrefix="0" xfId="0">
      <alignment horizontal="center" vertical="center" textRotation="90" wrapText="1"/>
    </xf>
    <xf numFmtId="4" fontId="16" fillId="0" borderId="9" applyAlignment="1" pivotButton="0" quotePrefix="0" xfId="0">
      <alignment horizontal="center" vertical="center" textRotation="90" wrapText="1"/>
    </xf>
    <xf numFmtId="4" fontId="16" fillId="0" borderId="17" applyAlignment="1" pivotButton="0" quotePrefix="0" xfId="0">
      <alignment horizontal="center" vertical="center" textRotation="90" wrapText="1"/>
    </xf>
    <xf numFmtId="2" fontId="16" fillId="0" borderId="5" applyAlignment="1" pivotButton="0" quotePrefix="0" xfId="0">
      <alignment horizontal="center" vertical="center" textRotation="90" wrapText="1"/>
    </xf>
    <xf numFmtId="2" fontId="17" fillId="0" borderId="5" applyAlignment="1" pivotButton="0" quotePrefix="0" xfId="0">
      <alignment horizontal="center" vertical="center" textRotation="90" wrapText="1"/>
    </xf>
    <xf numFmtId="2" fontId="16" fillId="0" borderId="9" applyAlignment="1" pivotButton="0" quotePrefix="0" xfId="0">
      <alignment horizontal="center" vertical="center" textRotation="90" wrapText="1"/>
    </xf>
    <xf numFmtId="2" fontId="17" fillId="0" borderId="9" applyAlignment="1" pivotButton="0" quotePrefix="0" xfId="0">
      <alignment horizontal="center" vertical="center" textRotation="90" wrapText="1"/>
    </xf>
    <xf numFmtId="2" fontId="16" fillId="0" borderId="17" applyAlignment="1" pivotButton="0" quotePrefix="0" xfId="0">
      <alignment horizontal="center" vertical="center" textRotation="90" wrapText="1"/>
    </xf>
    <xf numFmtId="2" fontId="17" fillId="0" borderId="17" applyAlignment="1" pivotButton="0" quotePrefix="0" xfId="0">
      <alignment horizontal="center" vertical="center" textRotation="90" wrapText="1"/>
    </xf>
    <xf numFmtId="4" fontId="18" fillId="7" borderId="5" pivotButton="0" quotePrefix="0" xfId="0"/>
    <xf numFmtId="0" fontId="15" fillId="0" borderId="0" pivotButton="0" quotePrefix="0" xfId="0"/>
    <xf numFmtId="4" fontId="13" fillId="7" borderId="44" pivotButton="0" quotePrefix="0" xfId="0"/>
    <xf numFmtId="2" fontId="22" fillId="7" borderId="43" applyAlignment="1" pivotButton="0" quotePrefix="0" xfId="0">
      <alignment horizontal="center" vertical="center"/>
    </xf>
    <xf numFmtId="2" fontId="22" fillId="7" borderId="46" applyAlignment="1" pivotButton="0" quotePrefix="0" xfId="0">
      <alignment horizontal="center" vertical="center"/>
    </xf>
    <xf numFmtId="4" fontId="20" fillId="0" borderId="5" applyAlignment="1" pivotButton="0" quotePrefix="0" xfId="0">
      <alignment horizontal="center" vertical="center" wrapText="1"/>
    </xf>
    <xf numFmtId="4" fontId="20" fillId="0" borderId="9" applyAlignment="1" pivotButton="0" quotePrefix="0" xfId="0">
      <alignment horizontal="center" vertical="center" wrapText="1"/>
    </xf>
    <xf numFmtId="4" fontId="20" fillId="0" borderId="17" applyAlignment="1" pivotButton="0" quotePrefix="0" xfId="0">
      <alignment horizontal="center" vertical="center" wrapText="1"/>
    </xf>
    <xf numFmtId="4" fontId="20" fillId="2" borderId="24" applyAlignment="1" pivotButton="0" quotePrefix="0" xfId="0">
      <alignment horizontal="center" vertical="center"/>
    </xf>
    <xf numFmtId="4" fontId="20" fillId="0" borderId="34" pivotButton="0" quotePrefix="0" xfId="0"/>
    <xf numFmtId="4" fontId="20" fillId="2" borderId="34" pivotButton="0" quotePrefix="0" xfId="0"/>
    <xf numFmtId="4" fontId="20" fillId="6" borderId="34" pivotButton="0" quotePrefix="0" xfId="0"/>
    <xf numFmtId="4" fontId="21" fillId="7" borderId="44" pivotButton="0" quotePrefix="0" xfId="0"/>
    <xf numFmtId="4" fontId="20" fillId="0" borderId="0" pivotButton="0" quotePrefix="0" xfId="0"/>
    <xf numFmtId="4" fontId="20" fillId="0" borderId="6" applyAlignment="1" pivotButton="0" quotePrefix="0" xfId="0">
      <alignment horizontal="center" vertical="center" wrapText="1"/>
    </xf>
    <xf numFmtId="4" fontId="20" fillId="0" borderId="7" applyAlignment="1" pivotButton="0" quotePrefix="0" xfId="0">
      <alignment horizontal="center" vertical="center" wrapText="1"/>
    </xf>
    <xf numFmtId="4" fontId="20" fillId="0" borderId="14" applyAlignment="1" pivotButton="0" quotePrefix="0" xfId="0">
      <alignment horizontal="center" vertical="center" wrapText="1"/>
    </xf>
    <xf numFmtId="4" fontId="20" fillId="0" borderId="15" applyAlignment="1" pivotButton="0" quotePrefix="0" xfId="0">
      <alignment horizontal="center" vertical="center" wrapText="1"/>
    </xf>
    <xf numFmtId="4" fontId="20" fillId="0" borderId="22" applyAlignment="1" pivotButton="0" quotePrefix="0" xfId="0">
      <alignment horizontal="center" vertical="center" wrapText="1"/>
    </xf>
    <xf numFmtId="4" fontId="20" fillId="0" borderId="23" applyAlignment="1" pivotButton="0" quotePrefix="0" xfId="0">
      <alignment horizontal="center" vertical="center" wrapText="1"/>
    </xf>
    <xf numFmtId="4" fontId="19" fillId="2" borderId="24" pivotButton="0" quotePrefix="0" xfId="0"/>
    <xf numFmtId="4" fontId="19" fillId="0" borderId="34" pivotButton="0" quotePrefix="0" xfId="0"/>
    <xf numFmtId="4" fontId="19" fillId="2" borderId="34" pivotButton="0" quotePrefix="0" xfId="0"/>
    <xf numFmtId="4" fontId="19" fillId="6" borderId="34" pivotButton="0" quotePrefix="0" xfId="0"/>
    <xf numFmtId="4" fontId="19" fillId="0" borderId="17" applyAlignment="1" pivotButton="0" quotePrefix="0" xfId="0">
      <alignment horizontal="center" vertical="center"/>
    </xf>
    <xf numFmtId="4" fontId="19" fillId="0" borderId="0" pivotButton="0" quotePrefix="0" xfId="0"/>
    <xf numFmtId="0" fontId="23" fillId="2" borderId="25" applyAlignment="1" pivotButton="0" quotePrefix="0" xfId="0">
      <alignment horizontal="center" vertical="center"/>
    </xf>
    <xf numFmtId="0" fontId="23" fillId="0" borderId="24" applyAlignment="1" pivotButton="0" quotePrefix="0" xfId="0">
      <alignment horizontal="center" vertical="center"/>
    </xf>
    <xf numFmtId="0" fontId="23" fillId="2" borderId="24" applyAlignment="1" pivotButton="0" quotePrefix="0" xfId="0">
      <alignment horizontal="center" vertical="center"/>
    </xf>
    <xf numFmtId="0" fontId="23" fillId="6" borderId="24" applyAlignment="1" pivotButton="0" quotePrefix="0" xfId="0">
      <alignment horizontal="center" vertical="center"/>
    </xf>
    <xf numFmtId="0" fontId="23" fillId="0" borderId="4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5" fillId="3" borderId="9" applyAlignment="1" pivotButton="0" quotePrefix="0" xfId="0">
      <alignment horizontal="center" vertical="center" wrapText="1"/>
    </xf>
    <xf numFmtId="0" fontId="15" fillId="3" borderId="17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/>
    </xf>
    <xf numFmtId="0" fontId="0" fillId="2" borderId="32" applyAlignment="1" pivotButton="0" quotePrefix="0" xfId="0">
      <alignment horizontal="center"/>
    </xf>
    <xf numFmtId="0" fontId="0" fillId="0" borderId="36" applyAlignment="1" pivotButton="0" quotePrefix="0" xfId="0">
      <alignment horizontal="center"/>
    </xf>
    <xf numFmtId="0" fontId="0" fillId="2" borderId="36" applyAlignment="1" pivotButton="0" quotePrefix="0" xfId="0">
      <alignment horizontal="center"/>
    </xf>
    <xf numFmtId="0" fontId="0" fillId="6" borderId="3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" fontId="14" fillId="2" borderId="38" pivotButton="0" quotePrefix="0" xfId="0"/>
    <xf numFmtId="164" fontId="4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2" fontId="16" fillId="0" borderId="8" applyAlignment="1" pivotButton="0" quotePrefix="0" xfId="0">
      <alignment horizontal="center" vertical="center" textRotation="90" wrapText="1"/>
    </xf>
    <xf numFmtId="2" fontId="17" fillId="0" borderId="0" applyAlignment="1" pivotButton="0" quotePrefix="0" xfId="0">
      <alignment horizontal="center" vertical="center" textRotation="90" wrapText="1"/>
    </xf>
    <xf numFmtId="2" fontId="16" fillId="0" borderId="14" applyAlignment="1" pivotButton="0" quotePrefix="0" xfId="0">
      <alignment horizontal="center" vertical="center" textRotation="90" wrapText="1"/>
    </xf>
    <xf numFmtId="4" fontId="16" fillId="0" borderId="8" applyAlignment="1" pivotButton="0" quotePrefix="0" xfId="0">
      <alignment horizontal="center" vertical="center" textRotation="90" wrapText="1"/>
    </xf>
    <xf numFmtId="4" fontId="13" fillId="0" borderId="0" applyAlignment="1" pivotButton="0" quotePrefix="0" xfId="0">
      <alignment horizontal="center" vertical="center" wrapText="1"/>
    </xf>
    <xf numFmtId="4" fontId="13" fillId="0" borderId="47" applyAlignment="1" pivotButton="0" quotePrefix="0" xfId="0">
      <alignment horizontal="center" vertical="center" wrapText="1"/>
    </xf>
    <xf numFmtId="4" fontId="13" fillId="0" borderId="48" applyAlignment="1" pivotButton="0" quotePrefix="0" xfId="0">
      <alignment horizontal="center" vertical="center" wrapText="1"/>
    </xf>
    <xf numFmtId="4" fontId="13" fillId="0" borderId="8" applyAlignment="1" pivotButton="0" quotePrefix="0" xfId="0">
      <alignment horizontal="center" vertical="center" wrapText="1"/>
    </xf>
    <xf numFmtId="4" fontId="13" fillId="0" borderId="14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/>
    </xf>
    <xf numFmtId="0" fontId="0" fillId="0" borderId="48" applyAlignment="1" pivotButton="0" quotePrefix="0" xfId="0">
      <alignment horizontal="center"/>
    </xf>
    <xf numFmtId="4" fontId="20" fillId="0" borderId="14" applyAlignment="1" pivotButton="0" quotePrefix="0" xfId="0">
      <alignment horizontal="center" vertical="center" wrapText="1"/>
    </xf>
    <xf numFmtId="4" fontId="20" fillId="0" borderId="9" applyAlignment="1" pivotButton="0" quotePrefix="0" xfId="0">
      <alignment horizontal="center" vertical="center" wrapText="1"/>
    </xf>
    <xf numFmtId="4" fontId="20" fillId="0" borderId="0" applyAlignment="1" pivotButton="0" quotePrefix="0" xfId="0">
      <alignment horizontal="center" vertical="center" wrapText="1"/>
    </xf>
    <xf numFmtId="0" fontId="26" fillId="0" borderId="9" applyAlignment="1" pivotButton="0" quotePrefix="0" xfId="0">
      <alignment horizontal="center" vertical="center" wrapText="1"/>
    </xf>
    <xf numFmtId="164" fontId="2" fillId="2" borderId="4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7" fontId="13" fillId="2" borderId="40" applyAlignment="1" pivotButton="0" quotePrefix="0" xfId="0">
      <alignment horizontal="center" vertical="center"/>
    </xf>
    <xf numFmtId="17" fontId="2" fillId="2" borderId="4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  <xf numFmtId="0" fontId="15" fillId="3" borderId="40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center" vertical="center" wrapText="1"/>
    </xf>
    <xf numFmtId="2" fontId="16" fillId="0" borderId="40" applyAlignment="1" pivotButton="0" quotePrefix="0" xfId="0">
      <alignment horizontal="center" vertical="center" textRotation="90" wrapText="1"/>
    </xf>
    <xf numFmtId="2" fontId="17" fillId="0" borderId="40" applyAlignment="1" pivotButton="0" quotePrefix="0" xfId="0">
      <alignment horizontal="center" vertical="center" textRotation="90" wrapText="1"/>
    </xf>
    <xf numFmtId="4" fontId="16" fillId="0" borderId="40" applyAlignment="1" pivotButton="0" quotePrefix="0" xfId="0">
      <alignment horizontal="center" vertical="center" textRotation="90" wrapText="1"/>
    </xf>
    <xf numFmtId="4" fontId="15" fillId="4" borderId="40" applyAlignment="1" pivotButton="0" quotePrefix="0" xfId="0">
      <alignment horizontal="center" vertical="center"/>
    </xf>
    <xf numFmtId="4" fontId="15" fillId="5" borderId="40" applyAlignment="1" pivotButton="0" quotePrefix="0" xfId="0">
      <alignment horizontal="center" vertical="center"/>
    </xf>
    <xf numFmtId="0" fontId="1" fillId="0" borderId="58" applyAlignment="1" pivotButton="0" quotePrefix="0" xfId="0">
      <alignment horizontal="center" vertical="center" wrapText="1"/>
    </xf>
    <xf numFmtId="0" fontId="0" fillId="0" borderId="6" pivotButton="0" quotePrefix="0" xfId="0"/>
    <xf numFmtId="4" fontId="20" fillId="0" borderId="3" applyAlignment="1" pivotButton="0" quotePrefix="0" xfId="0">
      <alignment horizontal="center" vertical="center" wrapText="1"/>
    </xf>
    <xf numFmtId="4" fontId="20" fillId="0" borderId="4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4" fontId="13" fillId="0" borderId="1" applyAlignment="1" pivotButton="0" quotePrefix="0" xfId="0">
      <alignment horizontal="center" vertical="center" wrapText="1"/>
    </xf>
    <xf numFmtId="4" fontId="13" fillId="0" borderId="54" applyAlignment="1" pivotButton="0" quotePrefix="0" xfId="0">
      <alignment horizontal="center" vertical="center" wrapText="1"/>
    </xf>
    <xf numFmtId="4" fontId="13" fillId="0" borderId="5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57" pivotButton="0" quotePrefix="0" xfId="0"/>
    <xf numFmtId="0" fontId="0" fillId="0" borderId="22" pivotButton="0" quotePrefix="0" xfId="0"/>
    <xf numFmtId="0" fontId="0" fillId="0" borderId="53" pivotButton="0" quotePrefix="0" xfId="0"/>
    <xf numFmtId="0" fontId="0" fillId="0" borderId="42" pivotButton="0" quotePrefix="0" xfId="0"/>
    <xf numFmtId="2" fontId="22" fillId="7" borderId="50" applyAlignment="1" pivotButton="0" quotePrefix="0" xfId="0">
      <alignment horizontal="center" vertical="center"/>
    </xf>
    <xf numFmtId="0" fontId="11" fillId="7" borderId="40" applyAlignment="1" pivotButton="0" quotePrefix="0" xfId="0">
      <alignment horizontal="center"/>
    </xf>
    <xf numFmtId="0" fontId="0" fillId="0" borderId="45" pivotButton="0" quotePrefix="0" xfId="0"/>
    <xf numFmtId="0" fontId="0" fillId="0" borderId="46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Amministratore</author>
  </authors>
  <commentList>
    <comment ref="V26" authorId="0" shapeId="0">
      <text>
        <t xml:space="preserve">FESTA SAN CULAZIO
</t>
      </text>
    </comment>
  </commentList>
</comment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"/>
  <sheetViews>
    <sheetView tabSelected="1" zoomScale="98" zoomScaleNormal="98" workbookViewId="0">
      <pane xSplit="8" ySplit="5" topLeftCell="L21" activePane="bottomRight" state="frozen"/>
      <selection pane="topRight" activeCell="I1" sqref="I1"/>
      <selection pane="bottomLeft" activeCell="A6" sqref="A6"/>
      <selection pane="bottomRight" activeCell="P26" sqref="P26"/>
    </sheetView>
  </sheetViews>
  <sheetFormatPr baseColWidth="8" defaultRowHeight="21"/>
  <cols>
    <col width="22.44140625" customWidth="1" style="43" min="1" max="1"/>
    <col width="6.44140625" customWidth="1" style="139" min="2" max="2"/>
    <col width="22" customWidth="1" style="44" min="3" max="3"/>
    <col width="22.109375" customWidth="1" style="44" min="4" max="4"/>
    <col width="8.77734375" customWidth="1" style="94" min="5" max="7"/>
    <col width="8.77734375" customWidth="1" style="98" min="8" max="8"/>
    <col width="8.77734375" customWidth="1" style="96" min="9" max="9"/>
    <col width="8.77734375" customWidth="1" style="98" min="10" max="15"/>
    <col width="10.5546875" customWidth="1" style="98" min="16" max="16"/>
    <col width="5.44140625" customWidth="1" min="17" max="17"/>
    <col width="6" customWidth="1" style="148" min="18" max="18"/>
    <col width="7" customWidth="1" style="133" min="19" max="19"/>
    <col width="8.109375" customWidth="1" style="121" min="20" max="20"/>
    <col width="10.88671875" customWidth="1" style="133" min="21" max="21"/>
    <col width="10.21875" customWidth="1" style="133" min="22" max="22"/>
  </cols>
  <sheetData>
    <row r="1" ht="25.2" customHeight="1" thickBot="1">
      <c r="A1" s="167" t="inlineStr">
        <is>
          <t>LYAKHU LEONID</t>
        </is>
      </c>
      <c r="B1" s="168" t="n"/>
      <c r="C1" s="168" t="n"/>
      <c r="D1" s="169" t="n"/>
      <c r="E1" s="170" t="inlineStr">
        <is>
          <t>ORE ORDINARIE</t>
        </is>
      </c>
      <c r="F1" s="168" t="n"/>
      <c r="G1" s="168" t="n"/>
      <c r="H1" s="169" t="n"/>
      <c r="I1" s="48" t="n"/>
      <c r="J1" s="171" t="inlineStr">
        <is>
          <t>trattamenti   aggiuntivi   differenziati</t>
        </is>
      </c>
      <c r="K1" s="168" t="n"/>
      <c r="L1" s="168" t="n"/>
      <c r="M1" s="168" t="n"/>
      <c r="N1" s="168" t="n"/>
      <c r="O1" s="168" t="n"/>
      <c r="P1" s="168" t="n"/>
      <c r="Q1" s="168" t="n"/>
      <c r="R1" s="168" t="n"/>
      <c r="S1" s="168" t="n"/>
      <c r="T1" s="168" t="n"/>
      <c r="U1" s="168" t="n"/>
      <c r="V1" s="169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8" t="inlineStr">
        <is>
          <t>LYAKHU LEONID</t>
        </is>
      </c>
    </row>
    <row r="2" ht="16.2" customHeight="1" thickBot="1">
      <c r="A2" s="172" t="inlineStr">
        <is>
          <t>DATA</t>
        </is>
      </c>
      <c r="B2" s="173" t="inlineStr">
        <is>
          <t>PWS sede</t>
        </is>
      </c>
      <c r="C2" s="174" t="inlineStr">
        <is>
          <t xml:space="preserve">  Altre Località Lavori</t>
        </is>
      </c>
      <c r="D2" s="174" t="inlineStr">
        <is>
          <t xml:space="preserve">  Altre Località Lavori</t>
        </is>
      </c>
      <c r="E2" s="175" t="inlineStr">
        <is>
          <t>INIZIO LAVORI</t>
        </is>
      </c>
      <c r="F2" s="176" t="inlineStr">
        <is>
          <t>PAUSA</t>
        </is>
      </c>
      <c r="G2" s="175" t="inlineStr">
        <is>
          <t>FINE LAVORI</t>
        </is>
      </c>
      <c r="H2" s="177" t="inlineStr">
        <is>
          <t>TOTALE</t>
        </is>
      </c>
      <c r="I2" s="50" t="n"/>
      <c r="J2" s="178" t="inlineStr">
        <is>
          <t>ORE DIURNE</t>
        </is>
      </c>
      <c r="K2" s="168" t="n"/>
      <c r="L2" s="169" t="n"/>
      <c r="M2" s="179" t="inlineStr">
        <is>
          <t>ORE NOTTURNE</t>
        </is>
      </c>
      <c r="N2" s="168" t="n"/>
      <c r="O2" s="168" t="n"/>
      <c r="P2" s="169" t="n"/>
      <c r="Q2" s="180" t="inlineStr">
        <is>
          <t>N° Trasferte Notturne</t>
        </is>
      </c>
      <c r="R2" s="181" t="n"/>
      <c r="S2" s="182" t="inlineStr">
        <is>
          <t xml:space="preserve">ORE Ferie </t>
        </is>
      </c>
      <c r="T2" s="183" t="inlineStr">
        <is>
          <t>ORE R.O.L.</t>
        </is>
      </c>
      <c r="U2" s="123" t="inlineStr">
        <is>
          <t>ORE Malattie</t>
        </is>
      </c>
      <c r="V2" s="183" t="inlineStr">
        <is>
          <t>ORE Festività Godute</t>
        </is>
      </c>
      <c r="W2" s="13" t="n"/>
      <c r="X2" s="13" t="n"/>
      <c r="Y2" s="13" t="n"/>
      <c r="Z2" s="13" t="n"/>
      <c r="AA2" s="13" t="n"/>
      <c r="AB2" s="13" t="n"/>
      <c r="AC2" s="13" t="n"/>
      <c r="AD2" s="13" t="n"/>
      <c r="AE2" s="13" t="n"/>
      <c r="AF2" s="13" t="n"/>
      <c r="AG2" s="13" t="n"/>
      <c r="AH2" s="13" t="n"/>
    </row>
    <row r="3" ht="14.4" customHeight="1">
      <c r="A3" s="184" t="n"/>
      <c r="B3" s="185" t="n"/>
      <c r="C3" s="185" t="n"/>
      <c r="D3" s="185" t="n"/>
      <c r="E3" s="185" t="n"/>
      <c r="F3" s="185" t="n"/>
      <c r="G3" s="185" t="n"/>
      <c r="H3" s="185" t="n"/>
      <c r="I3" s="50" t="n"/>
      <c r="J3" s="186" t="inlineStr">
        <is>
          <t>feriale</t>
        </is>
      </c>
      <c r="K3" s="187" t="inlineStr">
        <is>
          <t>sabato</t>
        </is>
      </c>
      <c r="L3" s="188" t="inlineStr">
        <is>
          <t>festivo</t>
        </is>
      </c>
      <c r="M3" s="186" t="inlineStr">
        <is>
          <t>feriale</t>
        </is>
      </c>
      <c r="N3" s="187" t="inlineStr">
        <is>
          <t>sabato</t>
        </is>
      </c>
      <c r="O3" s="188" t="inlineStr">
        <is>
          <t>festivo</t>
        </is>
      </c>
      <c r="P3" s="64" t="inlineStr">
        <is>
          <t xml:space="preserve">IGP Brescia </t>
        </is>
      </c>
      <c r="Q3" s="189" t="n"/>
      <c r="R3" s="190" t="n"/>
      <c r="S3" s="191" t="n"/>
      <c r="T3" s="185" t="n"/>
      <c r="V3" s="185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</row>
    <row r="4" ht="19.8" customHeight="1" thickBot="1">
      <c r="A4" s="192" t="n"/>
      <c r="B4" s="193" t="n"/>
      <c r="C4" s="193" t="n"/>
      <c r="D4" s="193" t="n"/>
      <c r="E4" s="193" t="n"/>
      <c r="F4" s="193" t="n"/>
      <c r="G4" s="193" t="n"/>
      <c r="H4" s="193" t="n"/>
      <c r="I4" s="50" t="n"/>
      <c r="J4" s="192" t="n"/>
      <c r="K4" s="194" t="n"/>
      <c r="L4" s="195" t="n"/>
      <c r="M4" s="192" t="n"/>
      <c r="N4" s="194" t="n"/>
      <c r="O4" s="195" t="n"/>
      <c r="P4" s="193" t="n"/>
      <c r="Q4" s="20" t="inlineStr">
        <is>
          <t>Italia</t>
        </is>
      </c>
      <c r="R4" s="143" t="inlineStr">
        <is>
          <t>Estero</t>
        </is>
      </c>
      <c r="S4" s="196" t="n"/>
      <c r="T4" s="193" t="n"/>
      <c r="U4" s="197" t="n"/>
      <c r="V4" s="19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</row>
    <row r="5" ht="15" customHeight="1" thickBot="1">
      <c r="A5" s="150" t="n"/>
      <c r="B5" s="166" t="n"/>
      <c r="C5" s="151" t="n"/>
      <c r="D5" s="151" t="n"/>
      <c r="E5" s="152" t="n"/>
      <c r="F5" s="153" t="n"/>
      <c r="G5" s="154" t="n"/>
      <c r="H5" s="155" t="n"/>
      <c r="I5" s="50" t="n"/>
      <c r="J5" s="156" t="n"/>
      <c r="K5" s="157" t="n"/>
      <c r="L5" s="158" t="n"/>
      <c r="M5" s="159" t="n"/>
      <c r="N5" s="157" t="n"/>
      <c r="O5" s="157" t="n"/>
      <c r="P5" s="160" t="n"/>
      <c r="Q5" s="161" t="n"/>
      <c r="R5" s="162" t="n"/>
      <c r="S5" s="163" t="n"/>
      <c r="T5" s="164" t="n"/>
      <c r="U5" s="165" t="n"/>
      <c r="V5" s="164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</row>
    <row r="6" ht="25.05" customHeight="1" thickBot="1">
      <c r="A6" s="21" t="n">
        <v>46082</v>
      </c>
      <c r="B6" s="134" t="n"/>
      <c r="C6" s="22" t="n"/>
      <c r="D6" s="22" t="n"/>
      <c r="E6" s="65" t="n"/>
      <c r="F6" s="66" t="n"/>
      <c r="G6" s="67" t="n"/>
      <c r="H6" s="68" t="n"/>
      <c r="I6" s="49" t="n"/>
      <c r="J6" s="69" t="n"/>
      <c r="K6" s="70" t="n"/>
      <c r="L6" s="71" t="n"/>
      <c r="M6" s="72" t="n"/>
      <c r="N6" s="70" t="n"/>
      <c r="O6" s="70" t="n"/>
      <c r="P6" s="71" t="n"/>
      <c r="Q6" s="23" t="n"/>
      <c r="R6" s="144" t="n"/>
      <c r="S6" s="128" t="n"/>
      <c r="T6" s="116" t="n"/>
      <c r="U6" s="128" t="n"/>
      <c r="V6" s="128" t="n"/>
    </row>
    <row r="7" ht="25.05" customHeight="1" thickBot="1">
      <c r="A7" s="24" t="n">
        <v>46083</v>
      </c>
      <c r="B7" s="135" t="n"/>
      <c r="C7" s="25" t="n"/>
      <c r="D7" s="25" t="n"/>
      <c r="E7" s="73" t="n"/>
      <c r="F7" s="74" t="n"/>
      <c r="G7" s="75" t="n"/>
      <c r="H7" s="76" t="n">
        <v>0</v>
      </c>
      <c r="I7" s="49" t="n"/>
      <c r="J7" s="77" t="n"/>
      <c r="K7" s="78" t="n"/>
      <c r="L7" s="79" t="n"/>
      <c r="M7" s="80" t="n"/>
      <c r="N7" s="78" t="n"/>
      <c r="O7" s="78" t="n"/>
      <c r="P7" s="79" t="n"/>
      <c r="Q7" s="26" t="n"/>
      <c r="R7" s="145" t="n"/>
      <c r="S7" s="129" t="n">
        <v>8</v>
      </c>
      <c r="T7" s="117" t="n"/>
      <c r="U7" s="129" t="n"/>
      <c r="V7" s="129" t="n"/>
    </row>
    <row r="8" ht="25.05" customHeight="1" thickBot="1">
      <c r="A8" s="24" t="n">
        <v>46084</v>
      </c>
      <c r="B8" s="135" t="n"/>
      <c r="C8" s="25" t="n"/>
      <c r="D8" s="25" t="n"/>
      <c r="E8" s="81" t="n"/>
      <c r="F8" s="74" t="n"/>
      <c r="G8" s="75" t="n"/>
      <c r="H8" s="76" t="n">
        <v>0</v>
      </c>
      <c r="I8" s="49" t="n"/>
      <c r="J8" s="77" t="n"/>
      <c r="K8" s="78" t="n"/>
      <c r="L8" s="79" t="n"/>
      <c r="M8" s="80" t="n"/>
      <c r="N8" s="78" t="n"/>
      <c r="O8" s="78" t="n"/>
      <c r="P8" s="79" t="n"/>
      <c r="Q8" s="26" t="n"/>
      <c r="R8" s="145" t="n"/>
      <c r="S8" s="129" t="n">
        <v>8</v>
      </c>
      <c r="T8" s="117" t="n"/>
      <c r="U8" s="129" t="n"/>
      <c r="V8" s="129" t="n"/>
    </row>
    <row r="9" ht="25.05" customHeight="1" thickBot="1">
      <c r="A9" s="24" t="n">
        <v>46085</v>
      </c>
      <c r="B9" s="135" t="n"/>
      <c r="C9" s="25" t="n"/>
      <c r="D9" s="25" t="n"/>
      <c r="E9" s="81" t="n"/>
      <c r="F9" s="74" t="n"/>
      <c r="G9" s="75" t="n"/>
      <c r="H9" s="76" t="n">
        <v>0</v>
      </c>
      <c r="I9" s="49" t="n"/>
      <c r="J9" s="77" t="n"/>
      <c r="K9" s="78" t="n"/>
      <c r="L9" s="79" t="n"/>
      <c r="M9" s="80" t="n"/>
      <c r="N9" s="78" t="n"/>
      <c r="O9" s="78" t="n"/>
      <c r="P9" s="79" t="n"/>
      <c r="Q9" s="26" t="n"/>
      <c r="R9" s="145" t="n"/>
      <c r="S9" s="129" t="n">
        <v>8</v>
      </c>
      <c r="T9" s="117" t="n"/>
      <c r="U9" s="129" t="n"/>
      <c r="V9" s="129" t="n"/>
    </row>
    <row r="10" ht="25.05" customHeight="1" thickBot="1">
      <c r="A10" s="24" t="n">
        <v>46086</v>
      </c>
      <c r="B10" s="135" t="n"/>
      <c r="C10" s="25" t="n"/>
      <c r="D10" s="25" t="n"/>
      <c r="E10" s="81" t="n"/>
      <c r="F10" s="74" t="n"/>
      <c r="G10" s="75" t="n"/>
      <c r="H10" s="76" t="n">
        <v>0</v>
      </c>
      <c r="I10" s="49" t="n"/>
      <c r="J10" s="77">
        <f>G10-F10-E10-H10</f>
        <v/>
      </c>
      <c r="K10" s="78" t="n"/>
      <c r="L10" s="79" t="n"/>
      <c r="M10" s="80" t="n"/>
      <c r="N10" s="78" t="n"/>
      <c r="O10" s="78" t="n"/>
      <c r="P10" s="79" t="n"/>
      <c r="Q10" s="26" t="n"/>
      <c r="R10" s="145" t="n"/>
      <c r="S10" s="129" t="n"/>
      <c r="T10" s="117" t="n"/>
      <c r="U10" s="129" t="n">
        <v>8</v>
      </c>
      <c r="V10" s="129" t="n"/>
    </row>
    <row r="11" ht="25.05" customHeight="1" thickBot="1">
      <c r="A11" s="24" t="n">
        <v>46087</v>
      </c>
      <c r="B11" s="135" t="n"/>
      <c r="C11" s="25" t="n"/>
      <c r="D11" s="25" t="n"/>
      <c r="E11" s="81" t="n"/>
      <c r="F11" s="74" t="n"/>
      <c r="G11" s="75" t="n"/>
      <c r="H11" s="76" t="n">
        <v>0</v>
      </c>
      <c r="I11" s="49" t="n"/>
      <c r="J11" s="77">
        <f>G11-F11-E11-H11</f>
        <v/>
      </c>
      <c r="K11" s="78" t="n"/>
      <c r="L11" s="79" t="n"/>
      <c r="M11" s="80" t="n"/>
      <c r="N11" s="78" t="n"/>
      <c r="O11" s="78" t="n"/>
      <c r="P11" s="79" t="n"/>
      <c r="Q11" s="26" t="n"/>
      <c r="R11" s="145" t="n"/>
      <c r="S11" s="129" t="n"/>
      <c r="T11" s="117" t="n"/>
      <c r="U11" s="129" t="n">
        <v>8</v>
      </c>
      <c r="V11" s="129" t="n"/>
    </row>
    <row r="12" ht="25.05" customHeight="1" thickBot="1">
      <c r="A12" s="21" t="n">
        <v>46088</v>
      </c>
      <c r="B12" s="136" t="n"/>
      <c r="C12" s="27" t="n"/>
      <c r="D12" s="27" t="n"/>
      <c r="E12" s="82" t="n"/>
      <c r="F12" s="83" t="n"/>
      <c r="G12" s="84" t="n"/>
      <c r="H12" s="85" t="n"/>
      <c r="I12" s="49" t="n"/>
      <c r="J12" s="149" t="n"/>
      <c r="K12" s="86" t="n"/>
      <c r="L12" s="87" t="n"/>
      <c r="M12" s="88" t="n"/>
      <c r="N12" s="86" t="n"/>
      <c r="O12" s="86" t="n"/>
      <c r="P12" s="87" t="n"/>
      <c r="Q12" s="28" t="n"/>
      <c r="R12" s="146" t="n"/>
      <c r="S12" s="130" t="n"/>
      <c r="T12" s="118" t="n"/>
      <c r="U12" s="130" t="n"/>
      <c r="V12" s="130" t="n"/>
      <c r="AJ12" s="29" t="n"/>
      <c r="AK12" s="29" t="n"/>
      <c r="AL12" s="29" t="n"/>
      <c r="AM12" s="29" t="n"/>
      <c r="AN12" s="29" t="n"/>
      <c r="AO12" s="29" t="n"/>
      <c r="AP12" s="29" t="n"/>
      <c r="AQ12" s="29" t="n"/>
      <c r="AR12" s="29" t="n"/>
      <c r="AS12" s="29" t="n"/>
      <c r="AT12" s="29" t="n"/>
      <c r="AU12" s="29" t="n"/>
      <c r="AV12" s="29" t="n"/>
    </row>
    <row r="13" ht="25.05" customHeight="1" thickBot="1">
      <c r="A13" s="21" t="n">
        <v>46089</v>
      </c>
      <c r="B13" s="136" t="n"/>
      <c r="C13" s="27" t="n"/>
      <c r="D13" s="27" t="n"/>
      <c r="E13" s="82" t="n"/>
      <c r="F13" s="83" t="n"/>
      <c r="G13" s="84" t="n"/>
      <c r="H13" s="85" t="n"/>
      <c r="I13" s="49" t="n"/>
      <c r="J13" s="149" t="n"/>
      <c r="K13" s="86" t="n"/>
      <c r="L13" s="87" t="n"/>
      <c r="M13" s="88" t="n"/>
      <c r="N13" s="86" t="n"/>
      <c r="O13" s="86" t="n"/>
      <c r="P13" s="87" t="n"/>
      <c r="Q13" s="28" t="n"/>
      <c r="R13" s="146" t="n"/>
      <c r="S13" s="130" t="n"/>
      <c r="T13" s="118" t="n"/>
      <c r="U13" s="130" t="n"/>
      <c r="V13" s="1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</row>
    <row r="14" ht="25.05" customHeight="1" thickBot="1">
      <c r="A14" s="24" t="n">
        <v>46090</v>
      </c>
      <c r="B14" s="135" t="n"/>
      <c r="C14" s="25" t="n"/>
      <c r="D14" s="25" t="n"/>
      <c r="E14" s="81" t="n">
        <v>8</v>
      </c>
      <c r="F14" s="74" t="n">
        <v>0.5</v>
      </c>
      <c r="G14" s="75" t="n">
        <v>14</v>
      </c>
      <c r="H14" s="76">
        <f>G14-F14-E14</f>
        <v/>
      </c>
      <c r="I14" s="49" t="n"/>
      <c r="J14" s="77">
        <f>G14-F14-E14-H14</f>
        <v/>
      </c>
      <c r="K14" s="78" t="n"/>
      <c r="L14" s="79" t="n"/>
      <c r="M14" s="80" t="n">
        <v>8</v>
      </c>
      <c r="N14" s="78" t="n"/>
      <c r="O14" s="78" t="n"/>
      <c r="P14" s="79" t="n"/>
      <c r="Q14" s="26" t="n"/>
      <c r="R14" s="145" t="n"/>
      <c r="S14" s="129" t="n"/>
      <c r="T14" s="117" t="n"/>
      <c r="U14" s="129" t="n"/>
      <c r="V14" s="129" t="n"/>
      <c r="AJ14" s="30" t="n"/>
      <c r="AK14" s="30" t="n"/>
      <c r="AL14" s="30" t="n"/>
      <c r="AM14" s="30" t="n"/>
      <c r="AN14" s="30" t="n"/>
      <c r="AO14" s="30" t="n"/>
      <c r="AP14" s="30" t="n"/>
      <c r="AQ14" s="30" t="n"/>
      <c r="AR14" s="30" t="n"/>
      <c r="AS14" s="30" t="n"/>
      <c r="AT14" s="30" t="n"/>
      <c r="AU14" s="30" t="n"/>
      <c r="AV14" s="30" t="n"/>
    </row>
    <row r="15" ht="25.05" customHeight="1" thickBot="1">
      <c r="A15" s="24" t="n">
        <v>46091</v>
      </c>
      <c r="B15" s="135" t="n"/>
      <c r="C15" s="25" t="n"/>
      <c r="D15" s="25" t="n"/>
      <c r="E15" s="81" t="n">
        <v>14</v>
      </c>
      <c r="F15" s="74" t="n">
        <v>0</v>
      </c>
      <c r="G15" s="75" t="n">
        <v>18</v>
      </c>
      <c r="H15" s="76" t="n">
        <v>0</v>
      </c>
      <c r="I15" s="49" t="n"/>
      <c r="J15" s="77">
        <f>G15-F15-E15</f>
        <v/>
      </c>
      <c r="K15" s="78" t="n"/>
      <c r="L15" s="79" t="n"/>
      <c r="M15" s="80" t="n"/>
      <c r="N15" s="78" t="n"/>
      <c r="O15" s="78" t="n"/>
      <c r="P15" s="79" t="n"/>
      <c r="Q15" s="26" t="n"/>
      <c r="R15" s="145" t="n"/>
      <c r="S15" s="129" t="n"/>
      <c r="T15" s="117" t="n"/>
      <c r="U15" s="129" t="n"/>
      <c r="V15" s="129" t="n"/>
    </row>
    <row r="16" ht="25.05" customHeight="1" thickBot="1">
      <c r="A16" s="24" t="n">
        <v>46092</v>
      </c>
      <c r="B16" s="135" t="n"/>
      <c r="C16" s="25" t="n"/>
      <c r="D16" s="25" t="n"/>
      <c r="E16" s="81" t="n">
        <v>8</v>
      </c>
      <c r="F16" s="74" t="n">
        <v>0.5</v>
      </c>
      <c r="G16" s="75" t="n">
        <v>18</v>
      </c>
      <c r="H16" s="76" t="n">
        <v>8</v>
      </c>
      <c r="I16" s="49" t="n"/>
      <c r="J16" s="77">
        <f>G16-F16-E16-H16</f>
        <v/>
      </c>
      <c r="K16" s="78" t="n"/>
      <c r="L16" s="79" t="n"/>
      <c r="M16" s="80" t="n"/>
      <c r="N16" s="78" t="n"/>
      <c r="O16" s="78" t="n"/>
      <c r="P16" s="79" t="n"/>
      <c r="Q16" s="26" t="n"/>
      <c r="R16" s="145" t="n"/>
      <c r="S16" s="129" t="n"/>
      <c r="T16" s="117" t="n"/>
      <c r="U16" s="129" t="n"/>
      <c r="V16" s="129" t="n"/>
    </row>
    <row r="17" ht="25.05" customHeight="1" thickBot="1">
      <c r="A17" s="24" t="n">
        <v>46093</v>
      </c>
      <c r="B17" s="135" t="n"/>
      <c r="C17" s="25" t="n"/>
      <c r="D17" s="25" t="n"/>
      <c r="E17" s="81" t="n">
        <v>8</v>
      </c>
      <c r="F17" s="74" t="n">
        <v>0.5</v>
      </c>
      <c r="G17" s="75" t="n">
        <v>18</v>
      </c>
      <c r="H17" s="76" t="n">
        <v>8</v>
      </c>
      <c r="I17" s="49" t="n"/>
      <c r="J17" s="77">
        <f>G17-F17-E17-H17</f>
        <v/>
      </c>
      <c r="K17" s="78" t="n"/>
      <c r="L17" s="79" t="n"/>
      <c r="M17" s="80" t="n"/>
      <c r="N17" s="78" t="n"/>
      <c r="O17" s="78" t="n"/>
      <c r="P17" s="79" t="n"/>
      <c r="Q17" s="26" t="n"/>
      <c r="R17" s="145" t="n"/>
      <c r="S17" s="129" t="n"/>
      <c r="T17" s="117" t="n"/>
      <c r="U17" s="129" t="n"/>
      <c r="V17" s="129" t="n"/>
    </row>
    <row r="18" ht="25.05" customHeight="1" thickBot="1">
      <c r="A18" s="24" t="n">
        <v>46094</v>
      </c>
      <c r="B18" s="135" t="n"/>
      <c r="C18" s="25" t="n"/>
      <c r="D18" s="25" t="n"/>
      <c r="E18" s="81" t="n">
        <v>8</v>
      </c>
      <c r="F18" s="74" t="n">
        <v>0.5</v>
      </c>
      <c r="G18" s="75" t="n">
        <v>18</v>
      </c>
      <c r="H18" s="76" t="n">
        <v>8</v>
      </c>
      <c r="I18" s="49" t="n"/>
      <c r="J18" s="77">
        <f>G18-F18-E18-H18</f>
        <v/>
      </c>
      <c r="K18" s="78" t="n"/>
      <c r="L18" s="79" t="n"/>
      <c r="M18" s="80" t="n"/>
      <c r="N18" s="78" t="n"/>
      <c r="O18" s="78" t="n"/>
      <c r="P18" s="79" t="n"/>
      <c r="Q18" s="26" t="n"/>
      <c r="R18" s="145" t="n"/>
      <c r="S18" s="129" t="n"/>
      <c r="T18" s="117" t="n"/>
      <c r="U18" s="129" t="n"/>
      <c r="V18" s="129" t="n"/>
    </row>
    <row r="19" ht="25.05" customHeight="1" thickBot="1">
      <c r="A19" s="21" t="n">
        <v>46095</v>
      </c>
      <c r="B19" s="136" t="n"/>
      <c r="C19" s="27" t="n"/>
      <c r="D19" s="27" t="n"/>
      <c r="E19" s="82" t="n"/>
      <c r="F19" s="83" t="n"/>
      <c r="G19" s="84" t="n"/>
      <c r="H19" s="85" t="n"/>
      <c r="I19" s="49" t="n"/>
      <c r="J19" s="149" t="n"/>
      <c r="K19" s="86" t="n"/>
      <c r="L19" s="87" t="n"/>
      <c r="M19" s="88" t="n"/>
      <c r="N19" s="86" t="n"/>
      <c r="O19" s="86" t="n"/>
      <c r="P19" s="87" t="n">
        <v>8</v>
      </c>
      <c r="Q19" s="28" t="n"/>
      <c r="R19" s="146" t="n"/>
      <c r="S19" s="130" t="n"/>
      <c r="T19" s="118" t="n"/>
      <c r="U19" s="130" t="n"/>
      <c r="V19" s="130" t="n"/>
    </row>
    <row r="20" ht="25.05" customHeight="1" thickBot="1">
      <c r="A20" s="21" t="n">
        <v>46096</v>
      </c>
      <c r="B20" s="136" t="n"/>
      <c r="C20" s="27" t="n"/>
      <c r="D20" s="27" t="n"/>
      <c r="E20" s="82" t="n"/>
      <c r="F20" s="83" t="n"/>
      <c r="G20" s="84" t="n"/>
      <c r="H20" s="85" t="n"/>
      <c r="I20" s="49" t="n"/>
      <c r="J20" s="149" t="n"/>
      <c r="K20" s="86" t="n"/>
      <c r="L20" s="87" t="n">
        <v>4</v>
      </c>
      <c r="M20" s="88" t="n"/>
      <c r="N20" s="86" t="n"/>
      <c r="O20" s="86" t="n"/>
      <c r="P20" s="87" t="n"/>
      <c r="Q20" s="28" t="n"/>
      <c r="R20" s="146" t="n"/>
      <c r="S20" s="130" t="n"/>
      <c r="T20" s="118" t="n"/>
      <c r="U20" s="130" t="n"/>
      <c r="V20" s="130" t="n"/>
    </row>
    <row r="21" ht="25.05" customHeight="1" thickBot="1">
      <c r="A21" s="24" t="n">
        <v>46097</v>
      </c>
      <c r="B21" s="135" t="n"/>
      <c r="C21" s="25" t="n"/>
      <c r="D21" s="31" t="n"/>
      <c r="E21" s="73" t="n">
        <v>8</v>
      </c>
      <c r="F21" s="74" t="n">
        <v>0.5</v>
      </c>
      <c r="G21" s="75" t="n">
        <v>18</v>
      </c>
      <c r="H21" s="76" t="n">
        <v>8</v>
      </c>
      <c r="I21" s="49" t="n"/>
      <c r="J21" s="77">
        <f>G21-F21-E21-H21</f>
        <v/>
      </c>
      <c r="K21" s="78" t="n"/>
      <c r="L21" s="79" t="n"/>
      <c r="M21" s="80" t="n"/>
      <c r="N21" s="78" t="n"/>
      <c r="O21" s="78" t="n"/>
      <c r="P21" s="79" t="n"/>
      <c r="Q21" s="26" t="n"/>
      <c r="R21" s="145" t="n"/>
      <c r="S21" s="129" t="n"/>
      <c r="T21" s="117" t="n"/>
      <c r="U21" s="129" t="n"/>
      <c r="V21" s="129" t="n"/>
    </row>
    <row r="22" ht="25.05" customHeight="1" thickBot="1">
      <c r="A22" s="24" t="n">
        <v>46098</v>
      </c>
      <c r="B22" s="135" t="n"/>
      <c r="C22" s="25" t="n"/>
      <c r="D22" s="31" t="n"/>
      <c r="E22" s="73" t="n">
        <v>8</v>
      </c>
      <c r="F22" s="74" t="n">
        <v>0.5</v>
      </c>
      <c r="G22" s="75" t="n">
        <v>18</v>
      </c>
      <c r="H22" s="76" t="n">
        <v>8</v>
      </c>
      <c r="I22" s="49" t="n"/>
      <c r="J22" s="77">
        <f>G22-F22-E22-H22</f>
        <v/>
      </c>
      <c r="K22" s="78" t="n"/>
      <c r="L22" s="79" t="n"/>
      <c r="M22" s="80" t="n"/>
      <c r="N22" s="78" t="n"/>
      <c r="O22" s="78" t="n"/>
      <c r="P22" s="79" t="n"/>
      <c r="Q22" s="26" t="n"/>
      <c r="R22" s="145" t="n"/>
      <c r="S22" s="129" t="n"/>
      <c r="T22" s="117" t="n"/>
      <c r="U22" s="129" t="n"/>
      <c r="V22" s="129" t="n"/>
    </row>
    <row r="23" ht="25.05" customHeight="1" thickBot="1">
      <c r="A23" s="24" t="n">
        <v>46099</v>
      </c>
      <c r="B23" s="135" t="n"/>
      <c r="C23" s="25" t="n"/>
      <c r="D23" s="25" t="n"/>
      <c r="E23" s="73" t="n">
        <v>8</v>
      </c>
      <c r="F23" s="74" t="n">
        <v>0.5</v>
      </c>
      <c r="G23" s="75" t="n">
        <v>18</v>
      </c>
      <c r="H23" s="76" t="n">
        <v>8</v>
      </c>
      <c r="I23" s="49" t="n"/>
      <c r="J23" s="77">
        <f>G23-F23-E23-H23</f>
        <v/>
      </c>
      <c r="K23" s="78" t="n"/>
      <c r="L23" s="79" t="n"/>
      <c r="M23" s="80" t="n"/>
      <c r="N23" s="78" t="n"/>
      <c r="O23" s="78" t="n"/>
      <c r="P23" s="79" t="n"/>
      <c r="Q23" s="26" t="n"/>
      <c r="R23" s="145" t="n"/>
      <c r="S23" s="129" t="n"/>
      <c r="T23" s="117" t="n"/>
      <c r="U23" s="129" t="n"/>
      <c r="V23" s="129" t="n"/>
    </row>
    <row r="24" ht="25.05" customHeight="1" thickBot="1">
      <c r="A24" s="24" t="n">
        <v>46100</v>
      </c>
      <c r="B24" s="135" t="n"/>
      <c r="C24" s="25" t="n"/>
      <c r="D24" s="25" t="n"/>
      <c r="E24" s="73" t="n">
        <v>8</v>
      </c>
      <c r="F24" s="74" t="n">
        <v>0.5</v>
      </c>
      <c r="G24" s="75" t="n">
        <v>18</v>
      </c>
      <c r="H24" s="76" t="n">
        <v>8</v>
      </c>
      <c r="I24" s="49" t="n"/>
      <c r="J24" s="77">
        <f>G24-F24-E24-H24</f>
        <v/>
      </c>
      <c r="K24" s="78" t="n"/>
      <c r="L24" s="79" t="n"/>
      <c r="M24" s="80" t="n"/>
      <c r="N24" s="78" t="n"/>
      <c r="O24" s="78" t="n"/>
      <c r="P24" s="79" t="n"/>
      <c r="Q24" s="26" t="n"/>
      <c r="R24" s="145" t="n"/>
      <c r="S24" s="129" t="n"/>
      <c r="T24" s="117" t="n"/>
      <c r="U24" s="129" t="n"/>
      <c r="V24" s="129" t="n"/>
    </row>
    <row r="25" ht="25.05" customHeight="1" thickBot="1">
      <c r="A25" s="24" t="n">
        <v>46101</v>
      </c>
      <c r="B25" s="135" t="n"/>
      <c r="C25" s="25" t="n"/>
      <c r="D25" s="25" t="n"/>
      <c r="E25" s="73" t="n">
        <v>8</v>
      </c>
      <c r="F25" s="74" t="n">
        <v>0.5</v>
      </c>
      <c r="G25" s="75" t="n">
        <v>13.5</v>
      </c>
      <c r="H25" s="76">
        <f>G25-F25-E25</f>
        <v/>
      </c>
      <c r="I25" s="49" t="n"/>
      <c r="J25" s="77">
        <f>G25-F25-E25-H25</f>
        <v/>
      </c>
      <c r="K25" s="78" t="n"/>
      <c r="L25" s="79" t="n"/>
      <c r="M25" s="80" t="n"/>
      <c r="N25" s="78" t="n"/>
      <c r="O25" s="78" t="n"/>
      <c r="P25" s="79" t="n"/>
      <c r="Q25" s="26" t="n"/>
      <c r="R25" s="145" t="n"/>
      <c r="S25" s="129" t="n"/>
      <c r="T25" s="129" t="n">
        <v>3</v>
      </c>
      <c r="U25" s="129" t="n"/>
      <c r="V25" s="129" t="n"/>
    </row>
    <row r="26" ht="25.05" customHeight="1" thickBot="1">
      <c r="A26" s="21" t="n">
        <v>46102</v>
      </c>
      <c r="B26" s="136" t="n"/>
      <c r="C26" s="27" t="n"/>
      <c r="D26" s="27" t="n"/>
      <c r="E26" s="82" t="n"/>
      <c r="F26" s="83" t="n"/>
      <c r="G26" s="84" t="n"/>
      <c r="H26" s="85" t="n"/>
      <c r="I26" s="49" t="n"/>
      <c r="J26" s="149" t="n"/>
      <c r="K26" s="86" t="n"/>
      <c r="L26" s="87" t="n"/>
      <c r="M26" s="88" t="n"/>
      <c r="N26" s="86" t="n"/>
      <c r="O26" s="86" t="n"/>
      <c r="P26" s="87" t="n"/>
      <c r="Q26" s="28" t="n"/>
      <c r="R26" s="146" t="n"/>
      <c r="S26" s="130" t="n"/>
      <c r="T26" s="118" t="n"/>
      <c r="U26" s="130" t="n"/>
      <c r="V26" s="130" t="n">
        <v>8</v>
      </c>
    </row>
    <row r="27" ht="25.05" customHeight="1" thickBot="1">
      <c r="A27" s="21" t="n">
        <v>46103</v>
      </c>
      <c r="B27" s="136" t="n"/>
      <c r="C27" s="27" t="n"/>
      <c r="D27" s="27" t="n"/>
      <c r="E27" s="82" t="n"/>
      <c r="F27" s="83" t="n"/>
      <c r="G27" s="84" t="n"/>
      <c r="H27" s="85" t="n"/>
      <c r="I27" s="49" t="n"/>
      <c r="J27" s="149" t="n"/>
      <c r="K27" s="86" t="n"/>
      <c r="L27" s="87" t="n"/>
      <c r="M27" s="88" t="n"/>
      <c r="N27" s="86" t="n"/>
      <c r="O27" s="86" t="n"/>
      <c r="P27" s="87" t="n"/>
      <c r="Q27" s="28" t="n"/>
      <c r="R27" s="146" t="n"/>
      <c r="S27" s="130" t="n"/>
      <c r="T27" s="118" t="n"/>
      <c r="U27" s="130" t="n"/>
      <c r="V27" s="130" t="n"/>
    </row>
    <row r="28" ht="25.05" customHeight="1" thickBot="1">
      <c r="A28" s="24" t="n">
        <v>46104</v>
      </c>
      <c r="B28" s="135" t="n"/>
      <c r="C28" s="25" t="n"/>
      <c r="D28" s="25" t="n"/>
      <c r="E28" s="81" t="n">
        <v>8</v>
      </c>
      <c r="F28" s="74" t="n">
        <v>0.5</v>
      </c>
      <c r="G28" s="75" t="n">
        <v>18</v>
      </c>
      <c r="H28" s="76" t="n">
        <v>8</v>
      </c>
      <c r="I28" s="49" t="n"/>
      <c r="J28" s="77">
        <f>G28-F28-E28-H28</f>
        <v/>
      </c>
      <c r="K28" s="78" t="n"/>
      <c r="L28" s="79" t="n"/>
      <c r="M28" s="80" t="n"/>
      <c r="N28" s="78" t="n"/>
      <c r="O28" s="78" t="n"/>
      <c r="P28" s="79" t="n"/>
      <c r="Q28" s="26" t="n"/>
      <c r="R28" s="145" t="n"/>
      <c r="S28" s="129" t="n"/>
      <c r="T28" s="117" t="n"/>
      <c r="U28" s="129" t="n"/>
      <c r="V28" s="129" t="n"/>
    </row>
    <row r="29" ht="25.05" customHeight="1" thickBot="1">
      <c r="A29" s="24" t="n">
        <v>46105</v>
      </c>
      <c r="B29" s="135" t="n"/>
      <c r="C29" s="25" t="n"/>
      <c r="D29" s="25" t="n"/>
      <c r="E29" s="81" t="n">
        <v>8</v>
      </c>
      <c r="F29" s="74" t="n">
        <v>0.5</v>
      </c>
      <c r="G29" s="75" t="n">
        <v>18</v>
      </c>
      <c r="H29" s="76" t="n">
        <v>8</v>
      </c>
      <c r="I29" s="49" t="n"/>
      <c r="J29" s="77">
        <f>G29-F29-E29-H29</f>
        <v/>
      </c>
      <c r="K29" s="78" t="n"/>
      <c r="L29" s="79" t="n"/>
      <c r="M29" s="80" t="n"/>
      <c r="N29" s="78" t="n"/>
      <c r="O29" s="78" t="n"/>
      <c r="P29" s="79" t="n"/>
      <c r="Q29" s="26" t="n"/>
      <c r="R29" s="145" t="n"/>
      <c r="S29" s="129" t="n"/>
      <c r="T29" s="117" t="n"/>
      <c r="U29" s="129" t="n"/>
      <c r="V29" s="129" t="n"/>
    </row>
    <row r="30" ht="25.05" customHeight="1" thickBot="1">
      <c r="A30" s="24" t="n">
        <v>46106</v>
      </c>
      <c r="B30" s="135" t="n"/>
      <c r="C30" s="25" t="n"/>
      <c r="D30" s="25" t="n"/>
      <c r="E30" s="81" t="n">
        <v>8</v>
      </c>
      <c r="F30" s="74" t="n">
        <v>0.5</v>
      </c>
      <c r="G30" s="75" t="n">
        <v>18</v>
      </c>
      <c r="H30" s="76" t="n">
        <v>8</v>
      </c>
      <c r="I30" s="49" t="n"/>
      <c r="J30" s="77">
        <f>G30-F30-E30-H30</f>
        <v/>
      </c>
      <c r="K30" s="78" t="n"/>
      <c r="L30" s="79" t="n"/>
      <c r="M30" s="80" t="n"/>
      <c r="N30" s="78" t="n"/>
      <c r="O30" s="78" t="n"/>
      <c r="P30" s="79" t="n"/>
      <c r="Q30" s="26" t="n"/>
      <c r="R30" s="145" t="n"/>
      <c r="S30" s="129" t="n"/>
      <c r="T30" s="117" t="n"/>
      <c r="U30" s="129" t="n"/>
      <c r="V30" s="129" t="n"/>
    </row>
    <row r="31" ht="25.05" customHeight="1" thickBot="1">
      <c r="A31" s="24" t="n">
        <v>46107</v>
      </c>
      <c r="B31" s="135" t="n"/>
      <c r="C31" s="25" t="n"/>
      <c r="D31" s="25" t="n"/>
      <c r="E31" s="81" t="n">
        <v>8</v>
      </c>
      <c r="F31" s="74" t="n">
        <v>0.5</v>
      </c>
      <c r="G31" s="75" t="n">
        <v>18</v>
      </c>
      <c r="H31" s="76" t="n">
        <v>8</v>
      </c>
      <c r="I31" s="49" t="n"/>
      <c r="J31" s="77">
        <f>G31-F31-E31-H31</f>
        <v/>
      </c>
      <c r="K31" s="78" t="n"/>
      <c r="L31" s="79" t="n"/>
      <c r="M31" s="80" t="n"/>
      <c r="N31" s="78" t="n"/>
      <c r="O31" s="78" t="n"/>
      <c r="P31" s="79" t="n"/>
      <c r="Q31" s="26" t="n"/>
      <c r="R31" s="145" t="n"/>
      <c r="S31" s="129" t="n"/>
      <c r="T31" s="117" t="n"/>
      <c r="U31" s="129" t="n"/>
      <c r="V31" s="129" t="n"/>
    </row>
    <row r="32" ht="25.05" customHeight="1" thickBot="1">
      <c r="A32" s="24" t="n">
        <v>46108</v>
      </c>
      <c r="B32" s="137" t="n"/>
      <c r="C32" s="32" t="n"/>
      <c r="D32" s="32" t="n"/>
      <c r="E32" s="81" t="n">
        <v>8</v>
      </c>
      <c r="F32" s="74" t="n">
        <v>0.5</v>
      </c>
      <c r="G32" s="75" t="n">
        <v>18</v>
      </c>
      <c r="H32" s="76" t="n">
        <v>8</v>
      </c>
      <c r="I32" s="49" t="n"/>
      <c r="J32" s="77">
        <f>G32-F32-E32-H32</f>
        <v/>
      </c>
      <c r="K32" s="89" t="n"/>
      <c r="L32" s="90" t="n"/>
      <c r="M32" s="91" t="n"/>
      <c r="N32" s="89" t="n"/>
      <c r="O32" s="89" t="n"/>
      <c r="P32" s="90" t="n"/>
      <c r="Q32" s="33" t="n"/>
      <c r="R32" s="147" t="n"/>
      <c r="S32" s="131" t="n"/>
      <c r="T32" s="119" t="n"/>
      <c r="U32" s="131" t="n"/>
      <c r="V32" s="131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 t="n"/>
      <c r="AF32" s="34" t="n"/>
      <c r="AG32" s="34" t="n"/>
      <c r="AH32" s="34" t="n"/>
      <c r="AI32" s="34" t="n"/>
      <c r="AJ32" s="34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</row>
    <row r="33" ht="25.05" customHeight="1" thickBot="1">
      <c r="A33" s="21" t="n">
        <v>46109</v>
      </c>
      <c r="B33" s="136" t="n"/>
      <c r="C33" s="27" t="n"/>
      <c r="D33" s="27" t="n"/>
      <c r="E33" s="82" t="n"/>
      <c r="F33" s="83" t="n"/>
      <c r="G33" s="84" t="n"/>
      <c r="H33" s="85" t="n"/>
      <c r="I33" s="49" t="n"/>
      <c r="J33" s="149" t="n"/>
      <c r="K33" s="86" t="n"/>
      <c r="L33" s="87" t="n"/>
      <c r="M33" s="88" t="n"/>
      <c r="N33" s="86" t="n"/>
      <c r="O33" s="86" t="n"/>
      <c r="P33" s="87" t="n"/>
      <c r="Q33" s="28" t="n"/>
      <c r="R33" s="146" t="n"/>
      <c r="S33" s="130" t="n"/>
      <c r="T33" s="118" t="n"/>
      <c r="U33" s="130" t="n"/>
      <c r="V33" s="130" t="n"/>
    </row>
    <row r="34" ht="25.05" customHeight="1" thickBot="1">
      <c r="A34" s="21" t="n">
        <v>46110</v>
      </c>
      <c r="B34" s="136" t="n"/>
      <c r="C34" s="27" t="n"/>
      <c r="D34" s="27" t="n"/>
      <c r="E34" s="82" t="n"/>
      <c r="F34" s="83" t="n"/>
      <c r="G34" s="84" t="n"/>
      <c r="H34" s="85" t="n"/>
      <c r="I34" s="49" t="n"/>
      <c r="J34" s="149" t="n"/>
      <c r="K34" s="86" t="n"/>
      <c r="L34" s="87" t="n"/>
      <c r="M34" s="88" t="n"/>
      <c r="N34" s="86" t="n"/>
      <c r="O34" s="86" t="n"/>
      <c r="P34" s="87" t="n"/>
      <c r="Q34" s="28" t="n"/>
      <c r="R34" s="146" t="n"/>
      <c r="S34" s="130" t="n"/>
      <c r="T34" s="118" t="n"/>
      <c r="U34" s="130" t="n"/>
      <c r="V34" s="130" t="n"/>
    </row>
    <row r="35" ht="25.05" customHeight="1" thickBot="1">
      <c r="A35" s="24" t="n">
        <v>46111</v>
      </c>
      <c r="B35" s="135" t="n"/>
      <c r="C35" s="25" t="n"/>
      <c r="D35" s="25" t="n"/>
      <c r="E35" s="81" t="n">
        <v>8</v>
      </c>
      <c r="F35" s="74" t="n">
        <v>0.5</v>
      </c>
      <c r="G35" s="75" t="n">
        <v>18</v>
      </c>
      <c r="H35" s="76" t="n">
        <v>8</v>
      </c>
      <c r="I35" s="49" t="n"/>
      <c r="J35" s="77">
        <f>G35-F35-E35-H35</f>
        <v/>
      </c>
      <c r="K35" s="78" t="n"/>
      <c r="L35" s="79" t="n"/>
      <c r="M35" s="80" t="n"/>
      <c r="N35" s="78" t="n"/>
      <c r="O35" s="78" t="n"/>
      <c r="P35" s="79" t="n"/>
      <c r="Q35" s="26" t="n"/>
      <c r="R35" s="145" t="n"/>
      <c r="S35" s="129" t="n"/>
      <c r="T35" s="117" t="n"/>
      <c r="U35" s="129" t="n"/>
      <c r="V35" s="129" t="n"/>
    </row>
    <row r="36" ht="25.05" customHeight="1" thickBot="1">
      <c r="A36" s="24" t="n">
        <v>46112</v>
      </c>
      <c r="B36" s="138" t="n"/>
      <c r="C36" s="35" t="n"/>
      <c r="D36" s="35" t="n"/>
      <c r="E36" s="81" t="n">
        <v>8</v>
      </c>
      <c r="F36" s="74" t="n">
        <v>0.5</v>
      </c>
      <c r="G36" s="75" t="n">
        <v>18</v>
      </c>
      <c r="H36" s="76" t="n">
        <v>8</v>
      </c>
      <c r="I36" s="49" t="n"/>
      <c r="J36" s="77">
        <f>G36-F36-E36-H36</f>
        <v/>
      </c>
      <c r="K36" s="78" t="n"/>
      <c r="L36" s="79" t="n"/>
      <c r="M36" s="80" t="n"/>
      <c r="N36" s="78" t="n"/>
      <c r="O36" s="78" t="n"/>
      <c r="P36" s="79" t="n"/>
      <c r="Q36" s="26" t="n"/>
      <c r="R36" s="145" t="n"/>
      <c r="S36" s="129" t="n"/>
      <c r="T36" s="117" t="n"/>
      <c r="U36" s="129" t="n"/>
      <c r="V36" s="129" t="n"/>
    </row>
    <row r="37" ht="28.8" customHeight="1" thickBot="1" thickTop="1">
      <c r="A37" s="36" t="inlineStr">
        <is>
          <t>Totale Ore Dichiarate</t>
        </is>
      </c>
      <c r="B37" s="198" t="n"/>
      <c r="C37" s="198" t="n"/>
      <c r="D37" s="199">
        <f>H37+J37+K37+L37+M37+N37+O37+P37+S37+T37+U37+V37</f>
        <v/>
      </c>
      <c r="E37" s="92" t="n"/>
      <c r="F37" s="92" t="n"/>
      <c r="G37" s="93" t="n"/>
      <c r="H37" s="108">
        <f>SUM(H6:H36)</f>
        <v/>
      </c>
      <c r="I37" s="109" t="n"/>
      <c r="J37" s="110">
        <f>SUM(J6:J36)</f>
        <v/>
      </c>
      <c r="K37" s="110">
        <f>SUM(K6:K36)</f>
        <v/>
      </c>
      <c r="L37" s="110">
        <f>SUM(L6:L36)</f>
        <v/>
      </c>
      <c r="M37" s="110">
        <f>SUM(M6:M36)</f>
        <v/>
      </c>
      <c r="N37" s="110">
        <f>SUM(N6:N36)</f>
        <v/>
      </c>
      <c r="O37" s="110">
        <f>SUM(O6:O36)</f>
        <v/>
      </c>
      <c r="P37" s="110">
        <f>SUM(P6:P36)</f>
        <v/>
      </c>
      <c r="Q37" s="200">
        <f>SUM(Q6:Q36)</f>
        <v/>
      </c>
      <c r="R37" s="200">
        <f>SUM(R6:R36)</f>
        <v/>
      </c>
      <c r="S37" s="120">
        <f>SUM(S6:S36)</f>
        <v/>
      </c>
      <c r="T37" s="120">
        <f>SUM(T6:T36)</f>
        <v/>
      </c>
      <c r="U37" s="120">
        <f>SUM(U6:U36)</f>
        <v/>
      </c>
      <c r="V37" s="120">
        <f>SUM(V6:V36)</f>
        <v/>
      </c>
      <c r="W37" s="38" t="n"/>
      <c r="X37" s="38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</row>
    <row r="38" ht="19.2" customHeight="1" thickBot="1" thickTop="1">
      <c r="A38" s="40" t="inlineStr">
        <is>
          <t>(A+B+C+D+E+F+G+H+I+L+M+N)</t>
        </is>
      </c>
      <c r="B38" s="201" t="n"/>
      <c r="C38" s="201" t="n"/>
      <c r="D38" s="202" t="n"/>
      <c r="H38" s="95" t="inlineStr">
        <is>
          <t>(A)</t>
        </is>
      </c>
      <c r="J38" s="97" t="inlineStr">
        <is>
          <t>(B)</t>
        </is>
      </c>
      <c r="K38" s="97" t="inlineStr">
        <is>
          <t>(C)</t>
        </is>
      </c>
      <c r="L38" s="97" t="inlineStr">
        <is>
          <t>(D)</t>
        </is>
      </c>
      <c r="M38" s="97" t="inlineStr">
        <is>
          <t>(E)</t>
        </is>
      </c>
      <c r="N38" s="97" t="inlineStr">
        <is>
          <t>(F)</t>
        </is>
      </c>
      <c r="O38" s="97" t="inlineStr">
        <is>
          <t>(G)</t>
        </is>
      </c>
      <c r="P38" s="97" t="inlineStr">
        <is>
          <t>(H)</t>
        </is>
      </c>
      <c r="Q38" s="193" t="n"/>
      <c r="R38" s="193" t="n"/>
      <c r="S38" s="132" t="inlineStr">
        <is>
          <t>(I)</t>
        </is>
      </c>
      <c r="T38" s="132" t="inlineStr">
        <is>
          <t>(L)</t>
        </is>
      </c>
      <c r="U38" s="132" t="inlineStr">
        <is>
          <t>(M)</t>
        </is>
      </c>
      <c r="V38" s="132" t="inlineStr">
        <is>
          <t>(N)</t>
        </is>
      </c>
    </row>
  </sheetData>
  <autoFilter ref="A5:AV38">
    <filterColumn colId="34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39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4" hiddenButton="0" showButton="0"/>
    <filterColumn colId="45" hiddenButton="0" showButton="0"/>
    <filterColumn colId="46" hiddenButton="0" showButton="0"/>
  </autoFilter>
  <mergeCells count="31">
    <mergeCell ref="A37:C37"/>
    <mergeCell ref="A2:A4"/>
    <mergeCell ref="L3:L4"/>
    <mergeCell ref="T2:T4"/>
    <mergeCell ref="C2:C4"/>
    <mergeCell ref="N3:N4"/>
    <mergeCell ref="Q2:R3"/>
    <mergeCell ref="M3:M4"/>
    <mergeCell ref="R37:R38"/>
    <mergeCell ref="V2:V4"/>
    <mergeCell ref="A38:C38"/>
    <mergeCell ref="A1:D1"/>
    <mergeCell ref="U2:U4"/>
    <mergeCell ref="J1:V1"/>
    <mergeCell ref="J2:L2"/>
    <mergeCell ref="P3:P4"/>
    <mergeCell ref="G2:G4"/>
    <mergeCell ref="D37:D38"/>
    <mergeCell ref="J3:J4"/>
    <mergeCell ref="M2:P2"/>
    <mergeCell ref="AI1:AV11"/>
    <mergeCell ref="S2:S4"/>
    <mergeCell ref="E1:H1"/>
    <mergeCell ref="B2:B4"/>
    <mergeCell ref="D2:D4"/>
    <mergeCell ref="K3:K4"/>
    <mergeCell ref="O3:O4"/>
    <mergeCell ref="F2:F4"/>
    <mergeCell ref="H2:H4"/>
    <mergeCell ref="Q37:Q38"/>
    <mergeCell ref="E2:E4"/>
  </mergeCells>
  <dataValidations count="1">
    <dataValidation sqref="B7 B8 B9 B10 B11 B12 B13 B14 B15 B16 B17 B18 B19 B20 B21 B22 B23 B24 B25 B26 B27 B28 B29 B30 B31 B32 B33 B34 B35 B36 B37" showDropDown="0" showInputMessage="0" showErrorMessage="0" allowBlank="1" type="list">
      <formula1>"X"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Amministratore</dc:creator>
  <dcterms:created xmlns:dcterms="http://purl.org/dc/terms/" xmlns:xsi="http://www.w3.org/2001/XMLSchema-instance" xsi:type="dcterms:W3CDTF">2026-02-27T14:19:30Z</dcterms:created>
  <dcterms:modified xmlns:dcterms="http://purl.org/dc/terms/" xmlns:xsi="http://www.w3.org/2001/XMLSchema-instance" xsi:type="dcterms:W3CDTF">2026-02-28T10:09:01Z</dcterms:modified>
  <cp:lastModifiedBy>Amministratore</cp:lastModifiedBy>
</cp:coreProperties>
</file>